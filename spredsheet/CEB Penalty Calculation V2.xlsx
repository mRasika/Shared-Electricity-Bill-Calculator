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" sheetId="1" r:id="rId5"/>
  </sheets>
  <definedNames/>
  <calcPr/>
</workbook>
</file>

<file path=xl/sharedStrings.xml><?xml version="1.0" encoding="utf-8"?>
<sst xmlns="http://schemas.openxmlformats.org/spreadsheetml/2006/main" count="51" uniqueCount="44">
  <si>
    <t>CATEGORY</t>
  </si>
  <si>
    <t>LABEL</t>
  </si>
  <si>
    <t>VALUE</t>
  </si>
  <si>
    <t>DESCRIPTION</t>
  </si>
  <si>
    <t>INPUT</t>
  </si>
  <si>
    <t>Total Bill Charge</t>
  </si>
  <si>
    <t>&lt;-- Enter Total Bill Amount</t>
  </si>
  <si>
    <t>Fixed Charge</t>
  </si>
  <si>
    <t>&lt;-- Enter Fixed Charge</t>
  </si>
  <si>
    <t>SSCL Tax</t>
  </si>
  <si>
    <t>&lt;-- SSCL Tax Auto Adjest</t>
  </si>
  <si>
    <t>Shop 01 Units</t>
  </si>
  <si>
    <t>&lt;-- Enter Shop 1 Units</t>
  </si>
  <si>
    <t>Shop 02 Units</t>
  </si>
  <si>
    <t>&lt;-- Enter Shop 2 Units</t>
  </si>
  <si>
    <t>Shop 03 Units</t>
  </si>
  <si>
    <t>&lt;-- Enter Shop 3 Units</t>
  </si>
  <si>
    <t>FAIR_RATE</t>
  </si>
  <si>
    <t>Fair Unit Price</t>
  </si>
  <si>
    <t>&lt;-- Standard Rate (Below 180 Tier)</t>
  </si>
  <si>
    <t>FAIR_FIXED</t>
  </si>
  <si>
    <t>Total Fair Fixed</t>
  </si>
  <si>
    <t>&lt;-- Standard Fixed (Below 180 Tier)</t>
  </si>
  <si>
    <t>Total Units</t>
  </si>
  <si>
    <t>(Automatic)</t>
  </si>
  <si>
    <t>RESULTS</t>
  </si>
  <si>
    <t>SHOP NAME</t>
  </si>
  <si>
    <t>UNITS</t>
  </si>
  <si>
    <t>ENERGY (FAIR)</t>
  </si>
  <si>
    <t>FIXED (FAIR)</t>
  </si>
  <si>
    <t>SSCL TAX</t>
  </si>
  <si>
    <t>TOTAL PAYABLE</t>
  </si>
  <si>
    <t>DATA</t>
  </si>
  <si>
    <t>Shop 01</t>
  </si>
  <si>
    <t>Shop 02</t>
  </si>
  <si>
    <t>Shop 03</t>
  </si>
  <si>
    <t>PENALTY</t>
  </si>
  <si>
    <t>Building Owner Share</t>
  </si>
  <si>
    <t>-</t>
  </si>
  <si>
    <t>&lt;-- THIS IS THE "SHARED PENALTY"</t>
  </si>
  <si>
    <t>VERIFY</t>
  </si>
  <si>
    <t>Total Collected</t>
  </si>
  <si>
    <t>Grand Total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</si>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</sst>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23.13"/>
    <col customWidth="1" min="7" max="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2350.0</v>
      </c>
      <c r="D2" s="1" t="s">
        <v>6</v>
      </c>
    </row>
    <row r="3">
      <c r="A3" s="1" t="s">
        <v>4</v>
      </c>
      <c r="B3" s="1" t="s">
        <v>7</v>
      </c>
      <c r="C3" s="1">
        <v>500.0</v>
      </c>
      <c r="D3" s="1" t="s">
        <v>8</v>
      </c>
    </row>
    <row r="4">
      <c r="A4" s="1" t="s">
        <v>4</v>
      </c>
      <c r="B4" s="1" t="s">
        <v>9</v>
      </c>
      <c r="C4" s="1">
        <f>ROUND(C2*0.025641, 2)</f>
        <v>60.26</v>
      </c>
      <c r="D4" s="1" t="s">
        <v>10</v>
      </c>
    </row>
    <row r="5">
      <c r="A5" s="1" t="s">
        <v>4</v>
      </c>
      <c r="B5" s="1" t="s">
        <v>11</v>
      </c>
      <c r="C5" s="1">
        <v>56.0</v>
      </c>
      <c r="D5" s="1" t="s">
        <v>12</v>
      </c>
    </row>
    <row r="6">
      <c r="A6" s="1" t="s">
        <v>4</v>
      </c>
      <c r="B6" s="1" t="s">
        <v>13</v>
      </c>
      <c r="C6" s="1">
        <v>17.0</v>
      </c>
      <c r="D6" s="1" t="s">
        <v>14</v>
      </c>
    </row>
    <row r="7">
      <c r="A7" s="1" t="s">
        <v>4</v>
      </c>
      <c r="B7" s="1" t="s">
        <v>15</v>
      </c>
      <c r="C7" s="1">
        <v>1.0</v>
      </c>
      <c r="D7" s="1" t="s">
        <v>16</v>
      </c>
    </row>
    <row r="8">
      <c r="A8" s="1" t="s">
        <v>17</v>
      </c>
      <c r="B8" s="1" t="s">
        <v>18</v>
      </c>
      <c r="C8" s="1">
        <v>25.0</v>
      </c>
      <c r="D8" s="1" t="s">
        <v>19</v>
      </c>
    </row>
    <row r="9">
      <c r="A9" s="1" t="s">
        <v>20</v>
      </c>
      <c r="B9" s="1" t="s">
        <v>21</v>
      </c>
      <c r="C9" s="1">
        <v>500.0</v>
      </c>
      <c r="D9" s="1" t="s">
        <v>22</v>
      </c>
    </row>
    <row r="10">
      <c r="B10" s="1" t="s">
        <v>23</v>
      </c>
      <c r="C10" s="2">
        <f>SUM(C5:C7)</f>
        <v>74</v>
      </c>
      <c r="D10" s="1" t="s">
        <v>24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</row>
    <row r="13">
      <c r="A13" s="1" t="s">
        <v>32</v>
      </c>
      <c r="B13" s="1" t="s">
        <v>33</v>
      </c>
      <c r="C13" s="2">
        <f t="shared" ref="C13:C15" si="1">C5</f>
        <v>56</v>
      </c>
      <c r="D13" s="2">
        <f t="shared" ref="D13:D15" si="2">C13*C$8</f>
        <v>1400</v>
      </c>
      <c r="E13" s="2">
        <f t="shared" ref="E13:E15" si="3">(C13/C$10)*C$9</f>
        <v>378.3783784</v>
      </c>
      <c r="F13" s="2">
        <f t="shared" ref="F13:F15" si="4">(C13/C$10)*C$4</f>
        <v>45.60216216</v>
      </c>
      <c r="G13" s="2">
        <f t="shared" ref="G13:G15" si="5">SUM(D13,E13,F13)</f>
        <v>1823.980541</v>
      </c>
    </row>
    <row r="14">
      <c r="A14" s="1" t="s">
        <v>32</v>
      </c>
      <c r="B14" s="1" t="s">
        <v>34</v>
      </c>
      <c r="C14" s="2">
        <f t="shared" si="1"/>
        <v>17</v>
      </c>
      <c r="D14" s="2">
        <f t="shared" si="2"/>
        <v>425</v>
      </c>
      <c r="E14" s="2">
        <f t="shared" si="3"/>
        <v>114.8648649</v>
      </c>
      <c r="F14" s="2">
        <f t="shared" si="4"/>
        <v>13.84351351</v>
      </c>
      <c r="G14" s="2">
        <f t="shared" si="5"/>
        <v>553.7083784</v>
      </c>
    </row>
    <row r="15">
      <c r="A15" s="1" t="s">
        <v>32</v>
      </c>
      <c r="B15" s="1" t="s">
        <v>35</v>
      </c>
      <c r="C15" s="2">
        <f t="shared" si="1"/>
        <v>1</v>
      </c>
      <c r="D15" s="2">
        <f t="shared" si="2"/>
        <v>25</v>
      </c>
      <c r="E15" s="2">
        <f t="shared" si="3"/>
        <v>6.756756757</v>
      </c>
      <c r="F15" s="2">
        <f t="shared" si="4"/>
        <v>0.8143243243</v>
      </c>
      <c r="G15" s="2">
        <f t="shared" si="5"/>
        <v>32.57108108</v>
      </c>
    </row>
    <row r="17">
      <c r="A17" s="1" t="s">
        <v>36</v>
      </c>
      <c r="B17" s="1" t="s">
        <v>37</v>
      </c>
      <c r="C17" s="1" t="s">
        <v>38</v>
      </c>
      <c r="D17" s="2">
        <f>(C2+C4)-SUM(G13:G15)</f>
        <v>0</v>
      </c>
      <c r="E17" s="1" t="s">
        <v>39</v>
      </c>
    </row>
    <row r="19">
      <c r="A19" s="1" t="s">
        <v>40</v>
      </c>
      <c r="B19" s="1" t="s">
        <v>41</v>
      </c>
      <c r="C19" s="2">
        <f>SUM(G13:G15,E16)</f>
        <v>2410.26</v>
      </c>
      <c r="D19" s="1" t="s">
        <v>42</v>
      </c>
      <c r="E19" s="2">
        <f>C2+C4</f>
        <v>2410.26</v>
      </c>
      <c r="F19" s="1" t="s">
        <v>43</v>
      </c>
      <c r="G19" s="2" t="str">
        <f>IF(ROUND(C19,1)+ROUND(D17,1)=ROUND(E19,1),"CORRECT","ERROR")</f>
        <v>CORRECT</v>
      </c>
    </row>
  </sheetData>
  <drawing r:id="rId1"/>
</worksheet>
</file>